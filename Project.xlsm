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se\Documents\GitHub\om471-project\"/>
    </mc:Choice>
  </mc:AlternateContent>
  <xr:revisionPtr revIDLastSave="0" documentId="13_ncr:1_{2387DA04-E3F5-4D03-8C3A-FACCA4E6BC00}" xr6:coauthVersionLast="47" xr6:coauthVersionMax="47" xr10:uidLastSave="{00000000-0000-0000-0000-000000000000}"/>
  <bookViews>
    <workbookView xWindow="0" yWindow="0" windowWidth="14400" windowHeight="15600" xr2:uid="{C4355F28-4B79-F84C-82A7-A3BBB2B9EA68}"/>
  </bookViews>
  <sheets>
    <sheet name="dataSheet" sheetId="1" r:id="rId1"/>
  </sheets>
  <functionGroups builtInGroupCount="19"/>
  <definedNames>
    <definedName name="ExternalData_1" localSheetId="0">dataSheet!$K$2:$M$4</definedName>
    <definedName name="ExternalData_2" localSheetId="0">dataSheet!$A$7:$B$18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1" l="1"/>
  <c r="M6" i="1"/>
  <c r="M5" i="1"/>
  <c r="M4" i="1"/>
  <c r="J11" i="1"/>
  <c r="I11" i="1"/>
  <c r="M3" i="1"/>
  <c r="M2" i="1"/>
  <c r="H11" i="1"/>
  <c r="D11" i="1"/>
  <c r="G11" i="1"/>
  <c r="E11" i="1"/>
  <c r="F11" i="1" l="1"/>
  <c r="D26" i="1" l="1"/>
  <c r="D20" i="1"/>
  <c r="D14" i="1"/>
  <c r="H14" i="1" s="1"/>
  <c r="I14" i="1" s="1"/>
  <c r="J14" i="1" s="1"/>
  <c r="D17" i="1"/>
  <c r="H17" i="1" s="1"/>
  <c r="I17" i="1" s="1"/>
  <c r="J17" i="1" s="1"/>
  <c r="D22" i="1"/>
  <c r="D25" i="1"/>
  <c r="D19" i="1"/>
  <c r="D13" i="1"/>
  <c r="H13" i="1" s="1"/>
  <c r="I13" i="1" s="1"/>
  <c r="J13" i="1" s="1"/>
  <c r="D12" i="1"/>
  <c r="H12" i="1" s="1"/>
  <c r="D23" i="1"/>
  <c r="D16" i="1"/>
  <c r="H16" i="1" s="1"/>
  <c r="I16" i="1" s="1"/>
  <c r="J16" i="1" s="1"/>
  <c r="D21" i="1"/>
  <c r="D24" i="1"/>
  <c r="D18" i="1"/>
  <c r="H18" i="1" s="1"/>
  <c r="I18" i="1" s="1"/>
  <c r="J18" i="1" s="1"/>
  <c r="D15" i="1"/>
  <c r="H15" i="1" s="1"/>
  <c r="I15" i="1" s="1"/>
  <c r="J15" i="1" s="1"/>
  <c r="E12" i="1"/>
  <c r="F12" i="1" l="1"/>
  <c r="G12" i="1"/>
  <c r="I12" i="1"/>
  <c r="P3" i="1"/>
  <c r="P4" i="1"/>
  <c r="P2" i="1"/>
  <c r="P7" i="1" l="1"/>
  <c r="J12" i="1"/>
  <c r="P6" i="1" s="1"/>
  <c r="P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F649A81-5692-884C-987C-C619DB33A90B}" name="example_csv" type="6" refreshedVersion="8" background="1" saveData="1">
    <textPr prompt="0" sourceFile="/Users/jensenkhem/ualberta/om471/project/example_csv.csv" comma="1">
      <textFields>
        <textField/>
      </textFields>
    </textPr>
  </connection>
  <connection id="2" xr16:uid="{1A322BD3-8B96-4DDB-A85D-D76D4AB07DC1}" name="example_csv1" type="6" refreshedVersion="8" background="1" saveData="1">
    <textPr prompt="0" sourceFile="C:\Users\jense\Documents\GitHub\om471-project\example_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<sst xmlns="http://schemas.openxmlformats.org/spreadsheetml/2006/main" count="29" uniqueCount="23">
  <si>
    <t>Dates</t>
  </si>
  <si>
    <t>Values</t>
  </si>
  <si>
    <t>k</t>
  </si>
  <si>
    <t>Forecast</t>
  </si>
  <si>
    <t>Level</t>
  </si>
  <si>
    <t>Trend</t>
  </si>
  <si>
    <t>Seasonal</t>
  </si>
  <si>
    <t>Error</t>
  </si>
  <si>
    <t>Abs. Error</t>
  </si>
  <si>
    <t>%Error</t>
  </si>
  <si>
    <t>LS</t>
  </si>
  <si>
    <t>TS</t>
  </si>
  <si>
    <t>SS</t>
  </si>
  <si>
    <t>RMSE</t>
  </si>
  <si>
    <t>MSE</t>
  </si>
  <si>
    <t>BIAS</t>
  </si>
  <si>
    <t>MAD</t>
  </si>
  <si>
    <t>MAPE</t>
  </si>
  <si>
    <t>ABS</t>
  </si>
  <si>
    <t>Periods/Cycle</t>
  </si>
  <si>
    <t>In-Sample</t>
  </si>
  <si>
    <t>Out-of-Sample</t>
  </si>
  <si>
    <t xml:space="preserve"> 01/11/2007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</si>
</sst>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0" borderId="0" xfId="0" applyFont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8</xdr:row>
          <xdr:rowOff>57150</xdr:rowOff>
        </xdr:from>
        <xdr:to>
          <xdr:col>13</xdr:col>
          <xdr:colOff>66675</xdr:colOff>
          <xdr:row>14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in time series data from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0</xdr:row>
      <xdr:rowOff>114300</xdr:rowOff>
    </xdr:from>
    <xdr:to>
      <xdr:col>5</xdr:col>
      <xdr:colOff>257175</xdr:colOff>
      <xdr:row>4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5250" y="114300"/>
          <a:ext cx="3038475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/>
            <a:t>Dates and values should start on A7:B7 Dates should be in the format dd/mm/yyyy, and values should be numerical values. Data</a:t>
          </a:r>
          <a:r>
            <a:rPr lang="en-CA" sz="1100" b="1" baseline="0"/>
            <a:t> can also be read in  from a file using the button to the right.</a:t>
          </a:r>
          <a:endParaRPr lang="en-CA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15</xdr:row>
          <xdr:rowOff>57150</xdr:rowOff>
        </xdr:from>
        <xdr:to>
          <xdr:col>13</xdr:col>
          <xdr:colOff>38100</xdr:colOff>
          <xdr:row>20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Forecasting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3A892C5-CC3C-43FE-81B6-E83F56A51CC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D89771B-1C62-2148-81C4-AA46938BD3D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D4485-490A-9541-B1D4-7FDC94E2F78B}">
  <sheetPr codeName="dataSheet"/>
  <dimension ref="A1:P26"/>
  <sheetViews>
    <sheetView tabSelected="1" workbookViewId="0">
      <selection activeCell="I31" sqref="I31"/>
    </sheetView>
  </sheetViews>
  <sheetFormatPr defaultColWidth="11" defaultRowHeight="15.75" x14ac:dyDescent="0.25"/>
  <cols>
    <col min="1" max="2" width="10.625" customWidth="1"/>
    <col min="3" max="3" width="5.25" customWidth="1"/>
    <col min="4" max="4" width="8.125" bestFit="1" customWidth="1"/>
    <col min="5" max="5" width="6" customWidth="1"/>
    <col min="6" max="6" width="8.125" bestFit="1" customWidth="1"/>
    <col min="7" max="7" width="12" customWidth="1"/>
    <col min="8" max="8" width="5.375" customWidth="1"/>
    <col min="9" max="9" width="9.125" customWidth="1"/>
    <col min="10" max="10" width="6.625" customWidth="1"/>
    <col min="12" max="12" width="10.875" customWidth="1"/>
    <col min="16" max="16" width="13.375" customWidth="1"/>
  </cols>
  <sheetData>
    <row r="1" spans="1:16" x14ac:dyDescent="0.25">
      <c r="A1" s="1"/>
      <c r="J1" s="1"/>
      <c r="M1" s="3" t="s">
        <v>20</v>
      </c>
      <c r="P1" s="3" t="s">
        <v>21</v>
      </c>
    </row>
    <row r="2" spans="1:16" x14ac:dyDescent="0.25">
      <c r="G2" s="3" t="s">
        <v>19</v>
      </c>
      <c r="H2" s="6">
        <v>4</v>
      </c>
      <c r="J2" s="3" t="s">
        <v>10</v>
      </c>
      <c r="K2" s="4">
        <v>1</v>
      </c>
      <c r="L2" s="3" t="s">
        <v>13</v>
      </c>
      <c r="M2" s="5">
        <f>SQRT(SUMSQ(H11:H11)/1)</f>
        <v>2.9090909090909092</v>
      </c>
      <c r="O2" s="3" t="s">
        <v>13</v>
      </c>
      <c r="P2" s="8">
        <f>SQRT(SUMSQ(H12:H18)/7)</f>
        <v>29.304802141823586</v>
      </c>
    </row>
    <row r="3" spans="1:16" x14ac:dyDescent="0.25">
      <c r="J3" s="3" t="s">
        <v>11</v>
      </c>
      <c r="K3" s="4">
        <v>1</v>
      </c>
      <c r="L3" s="3" t="s">
        <v>14</v>
      </c>
      <c r="M3" s="5">
        <f>SUMSQ(H11:H11)/1</f>
        <v>8.4628099173553721</v>
      </c>
      <c r="O3" s="3" t="s">
        <v>14</v>
      </c>
      <c r="P3" s="8">
        <f>SUMSQ(H12:H18)/7</f>
        <v>858.77142857142826</v>
      </c>
    </row>
    <row r="4" spans="1:16" x14ac:dyDescent="0.25">
      <c r="J4" s="3" t="s">
        <v>12</v>
      </c>
      <c r="K4" s="4">
        <v>1</v>
      </c>
      <c r="L4" s="3" t="s">
        <v>15</v>
      </c>
      <c r="M4" s="5">
        <f>AVERAGE(H11:H11)</f>
        <v>2.9090909090909092</v>
      </c>
      <c r="O4" s="3" t="s">
        <v>15</v>
      </c>
      <c r="P4" s="8">
        <f>AVERAGE(H12:H18)</f>
        <v>-23.514285714285709</v>
      </c>
    </row>
    <row r="5" spans="1:16" x14ac:dyDescent="0.25">
      <c r="L5" s="3" t="s">
        <v>16</v>
      </c>
      <c r="M5" s="5">
        <f>AVERAGE(I11:I11)</f>
        <v>2.9090909090909092</v>
      </c>
      <c r="O5" s="3" t="s">
        <v>16</v>
      </c>
      <c r="P5" s="8">
        <f>AVERAGE(I12:I18)</f>
        <v>23.514285714285709</v>
      </c>
    </row>
    <row r="6" spans="1:16" x14ac:dyDescent="0.25">
      <c r="A6" s="1" t="s">
        <v>0</v>
      </c>
      <c r="B6" s="1" t="s">
        <v>1</v>
      </c>
      <c r="C6" s="1" t="s">
        <v>2</v>
      </c>
      <c r="D6" s="1" t="s">
        <v>3</v>
      </c>
      <c r="E6" s="1" t="s">
        <v>4</v>
      </c>
      <c r="F6" s="1" t="s">
        <v>5</v>
      </c>
      <c r="G6" s="1" t="s">
        <v>6</v>
      </c>
      <c r="H6" s="7" t="s">
        <v>7</v>
      </c>
      <c r="I6" s="7" t="s">
        <v>8</v>
      </c>
      <c r="J6" s="7" t="s">
        <v>9</v>
      </c>
      <c r="L6" s="3" t="s">
        <v>17</v>
      </c>
      <c r="M6" s="5">
        <f>AVERAGE(J11:J11)</f>
        <v>0.96969696969696972</v>
      </c>
      <c r="O6" s="3" t="s">
        <v>17</v>
      </c>
      <c r="P6" s="8">
        <f>AVERAGE(J12:J18)</f>
        <v>1.916332112332112</v>
      </c>
    </row>
    <row r="7" spans="1:16" x14ac:dyDescent="0.25">
      <c r="A7" s="2">
        <v>39083</v>
      </c>
      <c r="B7">
        <v>5</v>
      </c>
      <c r="G7">
        <v>0.45454545454545453</v>
      </c>
      <c r="L7" s="3" t="s">
        <v>18</v>
      </c>
      <c r="M7" s="5">
        <f>MAX(I11:I11)</f>
        <v>2.9090909090909092</v>
      </c>
      <c r="O7" s="3" t="s">
        <v>18</v>
      </c>
      <c r="P7" s="8">
        <f>MAX(I12:I18)</f>
        <v>54.399999999999991</v>
      </c>
    </row>
    <row r="8" spans="1:16" x14ac:dyDescent="0.25">
      <c r="A8" s="2">
        <v>39114</v>
      </c>
      <c r="B8">
        <v>21</v>
      </c>
      <c r="G8">
        <v>1.9090909090909092</v>
      </c>
    </row>
    <row r="9" spans="1:16" x14ac:dyDescent="0.25">
      <c r="A9" s="2">
        <v>39142</v>
      </c>
      <c r="B9">
        <v>15</v>
      </c>
      <c r="G9">
        <v>1.3636363636363635</v>
      </c>
    </row>
    <row r="10" spans="1:16" x14ac:dyDescent="0.25">
      <c r="A10" s="2">
        <v>39173</v>
      </c>
      <c r="B10">
        <v>3</v>
      </c>
      <c r="E10">
        <v>11</v>
      </c>
      <c r="F10">
        <v>2</v>
      </c>
      <c r="G10">
        <v>0.27272727272727271</v>
      </c>
    </row>
    <row r="11" spans="1:16" x14ac:dyDescent="0.25">
      <c r="A11" s="2">
        <v>39203</v>
      </c>
      <c r="B11">
        <v>3</v>
      </c>
      <c r="D11">
        <f>(E10+F10)*G7</f>
        <v>5.9090909090909092</v>
      </c>
      <c r="E11">
        <f>$K$2*(B11/G7)+(1-$K$2)*(E10+F10)</f>
        <v>6.6000000000000005</v>
      </c>
      <c r="F11">
        <f>$K$3*(E11-E10)+(1-$K$3)*F10</f>
        <v>-4.3999999999999995</v>
      </c>
      <c r="G11">
        <f>$K$4*(B11/E11)+(1-$K$4)*(G7)</f>
        <v>0.45454545454545453</v>
      </c>
      <c r="H11">
        <f>D11-B11</f>
        <v>2.9090909090909092</v>
      </c>
      <c r="I11">
        <f>ABS(H11)</f>
        <v>2.9090909090909092</v>
      </c>
      <c r="J11">
        <f>IF(I11&lt;&gt;"",I11/B11,"")</f>
        <v>0.96969696969696972</v>
      </c>
    </row>
    <row r="12" spans="1:16" x14ac:dyDescent="0.25">
      <c r="A12" s="2">
        <v>39234</v>
      </c>
      <c r="B12">
        <v>25</v>
      </c>
      <c r="C12">
        <v>1</v>
      </c>
      <c r="D12">
        <f>(($F$11*C12)+$E$11)*INDEX($G$8:$G$11,MOD(C12-1,4) + 1)</f>
        <v>4.200000000000002</v>
      </c>
      <c r="E12">
        <f t="shared" ref="E12" si="0">$K$2*(B12/G8)+(1-$K$2)*(E11+F11)</f>
        <v>13.095238095238095</v>
      </c>
      <c r="F12">
        <f t="shared" ref="F12" si="1">$K$3*(E12-E11)+(1-$K$3)*F11</f>
        <v>6.4952380952380944</v>
      </c>
      <c r="G12">
        <f t="shared" ref="G12" si="2">$K$4*(B12/E12)+(1-$K$4)*(G8)</f>
        <v>1.9090909090909092</v>
      </c>
      <c r="H12">
        <f t="shared" ref="H12:H18" si="3">D12-B12</f>
        <v>-20.799999999999997</v>
      </c>
      <c r="I12">
        <f t="shared" ref="I12:I18" si="4">ABS(H12)</f>
        <v>20.799999999999997</v>
      </c>
      <c r="J12">
        <f t="shared" ref="J12:J18" si="5">IF(I12&lt;&gt;"",I12/B12,"")</f>
        <v>0.83199999999999985</v>
      </c>
    </row>
    <row r="13" spans="1:16" x14ac:dyDescent="0.25">
      <c r="A13" s="2">
        <v>39264</v>
      </c>
      <c r="B13">
        <v>13</v>
      </c>
      <c r="C13">
        <v>2</v>
      </c>
      <c r="D13">
        <f t="shared" ref="D13:D26" si="6">(($F$11*C13)+$E$11)*INDEX($G$8:$G$11,MOD(C13-1,4) + 1)</f>
        <v>-2.9999999999999978</v>
      </c>
      <c r="H13">
        <f t="shared" si="3"/>
        <v>-15.999999999999998</v>
      </c>
      <c r="I13">
        <f t="shared" si="4"/>
        <v>15.999999999999998</v>
      </c>
      <c r="J13">
        <f t="shared" si="5"/>
        <v>1.2307692307692306</v>
      </c>
    </row>
    <row r="14" spans="1:16" x14ac:dyDescent="0.25">
      <c r="A14" s="2">
        <v>39295</v>
      </c>
      <c r="B14">
        <v>1</v>
      </c>
      <c r="C14">
        <v>3</v>
      </c>
      <c r="D14">
        <f t="shared" si="6"/>
        <v>-1.7999999999999996</v>
      </c>
      <c r="H14">
        <f t="shared" si="3"/>
        <v>-2.8</v>
      </c>
      <c r="I14">
        <f t="shared" si="4"/>
        <v>2.8</v>
      </c>
      <c r="J14">
        <f t="shared" si="5"/>
        <v>2.8</v>
      </c>
    </row>
    <row r="15" spans="1:16" x14ac:dyDescent="0.25">
      <c r="A15" s="2">
        <v>39326</v>
      </c>
      <c r="B15">
        <v>9</v>
      </c>
      <c r="C15">
        <v>4</v>
      </c>
      <c r="D15">
        <f t="shared" si="6"/>
        <v>-4.9999999999999982</v>
      </c>
      <c r="H15">
        <f t="shared" si="3"/>
        <v>-13.999999999999998</v>
      </c>
      <c r="I15">
        <f t="shared" si="4"/>
        <v>13.999999999999998</v>
      </c>
      <c r="J15">
        <f t="shared" si="5"/>
        <v>1.5555555555555554</v>
      </c>
    </row>
    <row r="16" spans="1:16" x14ac:dyDescent="0.25">
      <c r="A16" s="2">
        <v>39356</v>
      </c>
      <c r="B16">
        <v>25</v>
      </c>
      <c r="C16">
        <v>5</v>
      </c>
      <c r="D16">
        <f t="shared" si="6"/>
        <v>-29.399999999999991</v>
      </c>
      <c r="H16">
        <f t="shared" si="3"/>
        <v>-54.399999999999991</v>
      </c>
      <c r="I16">
        <f t="shared" si="4"/>
        <v>54.399999999999991</v>
      </c>
      <c r="J16">
        <f t="shared" si="5"/>
        <v>2.1759999999999997</v>
      </c>
    </row>
    <row r="17" spans="1:10" x14ac:dyDescent="0.25">
      <c r="A17" t="s">
        <v>22</v>
      </c>
      <c r="B17">
        <v>18</v>
      </c>
      <c r="C17">
        <v>6</v>
      </c>
      <c r="D17">
        <f t="shared" si="6"/>
        <v>-26.999999999999993</v>
      </c>
      <c r="H17">
        <f t="shared" si="3"/>
        <v>-44.999999999999993</v>
      </c>
      <c r="I17">
        <f t="shared" si="4"/>
        <v>44.999999999999993</v>
      </c>
      <c r="J17">
        <f t="shared" si="5"/>
        <v>2.4999999999999996</v>
      </c>
    </row>
    <row r="18" spans="1:10" x14ac:dyDescent="0.25">
      <c r="A18" s="2">
        <v>39417</v>
      </c>
      <c r="B18">
        <v>5</v>
      </c>
      <c r="C18">
        <v>7</v>
      </c>
      <c r="D18">
        <f t="shared" si="6"/>
        <v>-6.5999999999999988</v>
      </c>
      <c r="H18">
        <f t="shared" si="3"/>
        <v>-11.599999999999998</v>
      </c>
      <c r="I18">
        <f t="shared" si="4"/>
        <v>11.599999999999998</v>
      </c>
      <c r="J18">
        <f t="shared" si="5"/>
        <v>2.3199999999999994</v>
      </c>
    </row>
    <row r="19" spans="1:10" x14ac:dyDescent="0.25">
      <c r="C19">
        <v>8</v>
      </c>
      <c r="D19">
        <f t="shared" si="6"/>
        <v>-12.999999999999996</v>
      </c>
    </row>
    <row r="20" spans="1:10" x14ac:dyDescent="0.25">
      <c r="C20">
        <v>9</v>
      </c>
      <c r="D20">
        <f t="shared" si="6"/>
        <v>-62.999999999999986</v>
      </c>
    </row>
    <row r="21" spans="1:10" x14ac:dyDescent="0.25">
      <c r="C21">
        <v>10</v>
      </c>
      <c r="D21">
        <f t="shared" si="6"/>
        <v>-50.999999999999986</v>
      </c>
    </row>
    <row r="22" spans="1:10" x14ac:dyDescent="0.25">
      <c r="C22">
        <v>11</v>
      </c>
      <c r="D22">
        <f t="shared" si="6"/>
        <v>-11.399999999999997</v>
      </c>
    </row>
    <row r="23" spans="1:10" x14ac:dyDescent="0.25">
      <c r="C23">
        <v>12</v>
      </c>
      <c r="D23">
        <f t="shared" si="6"/>
        <v>-20.999999999999996</v>
      </c>
    </row>
    <row r="24" spans="1:10" x14ac:dyDescent="0.25">
      <c r="C24">
        <v>13</v>
      </c>
      <c r="D24">
        <f t="shared" si="6"/>
        <v>-96.6</v>
      </c>
    </row>
    <row r="25" spans="1:10" x14ac:dyDescent="0.25">
      <c r="C25">
        <v>14</v>
      </c>
      <c r="D25">
        <f t="shared" si="6"/>
        <v>-74.999999999999986</v>
      </c>
    </row>
    <row r="26" spans="1:10" x14ac:dyDescent="0.25">
      <c r="C26">
        <v>15</v>
      </c>
      <c r="D26">
        <f t="shared" si="6"/>
        <v>-16.199999999999996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TimeSeriesData">
                <anchor moveWithCells="1" sizeWithCells="1">
                  <from>
                    <xdr:col>11</xdr:col>
                    <xdr:colOff>85725</xdr:colOff>
                    <xdr:row>8</xdr:row>
                    <xdr:rowOff>57150</xdr:rowOff>
                  </from>
                  <to>
                    <xdr:col>13</xdr:col>
                    <xdr:colOff>66675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11</xdr:col>
                    <xdr:colOff>76200</xdr:colOff>
                    <xdr:row>15</xdr:row>
                    <xdr:rowOff>57150</xdr:rowOff>
                  </from>
                  <to>
                    <xdr:col>13</xdr:col>
                    <xdr:colOff>38100</xdr:colOff>
                    <xdr:row>20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dataSheet</vt:lpstr>
      <vt:lpstr>dataSheet!ExternalData_1</vt:lpstr>
      <vt:lpstr>dataSheet!ExternalData_2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Jensen Khem</cp:lastModifiedBy>
  <dcterms:created xsi:type="dcterms:W3CDTF">2023-03-21T20:29:43Z</dcterms:created>
  <dcterms:modified xsi:type="dcterms:W3CDTF">2023-04-03T03:13:33Z</dcterms:modified>
</cp:coreProperties>
</file>