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\om-471\project\"/>
    </mc:Choice>
  </mc:AlternateContent>
  <xr:revisionPtr revIDLastSave="0" documentId="13_ncr:1_{EC313CB8-9144-4B64-9375-5163D44FF5CE}" xr6:coauthVersionLast="47" xr6:coauthVersionMax="47" xr10:uidLastSave="{00000000-0000-0000-0000-000000000000}"/>
  <bookViews>
    <workbookView xWindow="13860" yWindow="240" windowWidth="14040" windowHeight="13605" xr2:uid="{D83CEA88-63A9-4381-AF93-0146E6CFD9E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20" i="1"/>
  <c r="D19" i="1"/>
  <c r="D18" i="1"/>
  <c r="D17" i="1"/>
  <c r="D16" i="1"/>
  <c r="D15" i="1"/>
  <c r="D14" i="1"/>
  <c r="G21" i="1"/>
  <c r="G20" i="1"/>
  <c r="G19" i="1"/>
  <c r="G18" i="1"/>
  <c r="G17" i="1"/>
  <c r="G16" i="1"/>
  <c r="G15" i="1"/>
  <c r="G14" i="1"/>
  <c r="D13" i="1"/>
  <c r="D12" i="1"/>
  <c r="D11" i="1"/>
  <c r="D10" i="1"/>
  <c r="D9" i="1"/>
  <c r="D8" i="1"/>
  <c r="D7" i="1"/>
  <c r="D6" i="1"/>
  <c r="G10" i="1"/>
  <c r="G9" i="1"/>
  <c r="G8" i="1"/>
  <c r="G7" i="1"/>
  <c r="G6" i="1"/>
  <c r="F7" i="1"/>
  <c r="F6" i="1"/>
  <c r="E7" i="1"/>
  <c r="E6" i="1"/>
  <c r="E8" i="1" l="1"/>
  <c r="F8" i="1" s="1"/>
  <c r="E9" i="1" l="1"/>
  <c r="F9" i="1" s="1"/>
  <c r="E10" i="1" l="1"/>
  <c r="F10" i="1" s="1"/>
  <c r="E11" i="1" l="1"/>
  <c r="F11" i="1" l="1"/>
  <c r="G11" i="1"/>
  <c r="E12" i="1"/>
  <c r="F12" i="1" l="1"/>
  <c r="G12" i="1"/>
  <c r="E13" i="1" l="1"/>
  <c r="F13" i="1" l="1"/>
  <c r="G13" i="1"/>
</calcChain>
</file>

<file path=xl/sharedStrings.xml><?xml version="1.0" encoding="utf-8"?>
<sst xmlns="http://schemas.openxmlformats.org/spreadsheetml/2006/main" count="21" uniqueCount="20">
  <si>
    <t>period</t>
  </si>
  <si>
    <t>k</t>
  </si>
  <si>
    <t>forecast</t>
  </si>
  <si>
    <t>level</t>
  </si>
  <si>
    <t>trend</t>
  </si>
  <si>
    <t>data</t>
  </si>
  <si>
    <t>LS</t>
  </si>
  <si>
    <t>TS</t>
  </si>
  <si>
    <t>SS</t>
  </si>
  <si>
    <t>RMSE</t>
  </si>
  <si>
    <t>MSE</t>
  </si>
  <si>
    <t>BIAS</t>
  </si>
  <si>
    <t>error</t>
  </si>
  <si>
    <t>abs.error</t>
  </si>
  <si>
    <t>%error</t>
  </si>
  <si>
    <t>MAS</t>
  </si>
  <si>
    <t>MAPE</t>
  </si>
  <si>
    <t>ABS</t>
  </si>
  <si>
    <t>periods</t>
  </si>
  <si>
    <t>seasonal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</si>
</sst>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A71C-4107-4125-9902-E45A84A8B1C5}">
  <sheetPr codeName="Sheet1"/>
  <dimension ref="A1:O21"/>
  <sheetViews>
    <sheetView tabSelected="1" workbookViewId="0">
      <selection activeCell="J19" sqref="J19"/>
    </sheetView>
  </sheetViews>
  <sheetFormatPr defaultRowHeight="15" x14ac:dyDescent="0.25"/>
  <cols>
    <col min="3" max="3" width="9.140625" customWidth="1"/>
  </cols>
  <sheetData>
    <row r="1" spans="1:15" x14ac:dyDescent="0.25">
      <c r="A1" s="2" t="s">
        <v>0</v>
      </c>
      <c r="B1" s="2" t="s">
        <v>5</v>
      </c>
      <c r="C1" t="s">
        <v>1</v>
      </c>
      <c r="D1" t="s">
        <v>2</v>
      </c>
      <c r="E1" t="s">
        <v>3</v>
      </c>
      <c r="F1" t="s">
        <v>4</v>
      </c>
      <c r="G1" t="s">
        <v>19</v>
      </c>
      <c r="H1" s="1" t="s">
        <v>12</v>
      </c>
      <c r="I1" s="1" t="s">
        <v>13</v>
      </c>
      <c r="J1" s="1" t="s">
        <v>14</v>
      </c>
      <c r="K1" s="2"/>
      <c r="L1" s="2" t="s">
        <v>6</v>
      </c>
      <c r="M1" s="3">
        <v>0.5</v>
      </c>
      <c r="N1" t="s">
        <v>9</v>
      </c>
      <c r="O1" s="4"/>
    </row>
    <row r="2" spans="1:15" x14ac:dyDescent="0.25">
      <c r="A2">
        <v>1</v>
      </c>
      <c r="B2">
        <v>5</v>
      </c>
      <c r="G2">
        <v>0.45454545454545453</v>
      </c>
      <c r="L2" t="s">
        <v>7</v>
      </c>
      <c r="M2" s="3">
        <v>0.5</v>
      </c>
      <c r="N2" t="s">
        <v>10</v>
      </c>
      <c r="O2" s="4"/>
    </row>
    <row r="3" spans="1:15" x14ac:dyDescent="0.25">
      <c r="A3">
        <v>2</v>
      </c>
      <c r="B3">
        <v>21</v>
      </c>
      <c r="G3">
        <v>1.9090909090909092</v>
      </c>
      <c r="L3" t="s">
        <v>8</v>
      </c>
      <c r="M3" s="3">
        <v>0.5</v>
      </c>
      <c r="N3" t="s">
        <v>11</v>
      </c>
      <c r="O3" s="4"/>
    </row>
    <row r="4" spans="1:15" x14ac:dyDescent="0.25">
      <c r="A4">
        <v>3</v>
      </c>
      <c r="B4">
        <v>15</v>
      </c>
      <c r="G4">
        <v>1.3636363636363635</v>
      </c>
      <c r="N4" t="s">
        <v>15</v>
      </c>
      <c r="O4" s="4"/>
    </row>
    <row r="5" spans="1:15" x14ac:dyDescent="0.25">
      <c r="A5">
        <v>4</v>
      </c>
      <c r="B5">
        <v>3</v>
      </c>
      <c r="E5">
        <v>11</v>
      </c>
      <c r="F5">
        <v>2</v>
      </c>
      <c r="G5">
        <v>0.27272727272727271</v>
      </c>
      <c r="L5" t="s">
        <v>18</v>
      </c>
      <c r="M5" s="5"/>
      <c r="N5" t="s">
        <v>16</v>
      </c>
      <c r="O5" s="4"/>
    </row>
    <row r="6" spans="1:15" x14ac:dyDescent="0.25">
      <c r="A6">
        <v>5</v>
      </c>
      <c r="B6">
        <v>3</v>
      </c>
      <c r="D6">
        <f>(E5+F5)*G2</f>
        <v>5.9090909090909092</v>
      </c>
      <c r="E6">
        <f>$M$1*(B6/G2)+(1-$M$1)*(E5+F5)</f>
        <v>9.8000000000000007</v>
      </c>
      <c r="F6">
        <f>$M$2*(E6-E5)+(1-$M$2)*F5</f>
        <v>0.40000000000000036</v>
      </c>
      <c r="G6">
        <f>$M$3*(B6/E6)+(1-$M$3)*(G2)</f>
        <v>0.38033395176252316</v>
      </c>
      <c r="L6" t="s">
        <v>2</v>
      </c>
      <c r="M6" s="5"/>
      <c r="N6" t="s">
        <v>17</v>
      </c>
      <c r="O6" s="4"/>
    </row>
    <row r="7" spans="1:15" x14ac:dyDescent="0.25">
      <c r="A7">
        <v>6</v>
      </c>
      <c r="B7">
        <v>25</v>
      </c>
      <c r="D7">
        <f t="shared" ref="D7:D13" si="0">(E6+F6)*G3</f>
        <v>19.472727272727276</v>
      </c>
      <c r="E7">
        <f t="shared" ref="E7:E13" si="1">$M$1*(B7/G3)+(1-$M$1)*(E6+F6)</f>
        <v>11.647619047619049</v>
      </c>
      <c r="F7">
        <f t="shared" ref="F7:F13" si="2">$M$2*(E7-E6)+(1-$M$2)*F6</f>
        <v>1.1238095238095243</v>
      </c>
      <c r="G7">
        <f t="shared" ref="G7:G13" si="3">$M$3*(B7/E7)+(1-$M$3)*(G3)</f>
        <v>2.0277261577343344</v>
      </c>
      <c r="M7" s="5"/>
    </row>
    <row r="8" spans="1:15" x14ac:dyDescent="0.25">
      <c r="A8">
        <v>7</v>
      </c>
      <c r="B8">
        <v>13</v>
      </c>
      <c r="D8">
        <f t="shared" si="0"/>
        <v>17.415584415584416</v>
      </c>
      <c r="E8">
        <f t="shared" si="1"/>
        <v>11.152380952380952</v>
      </c>
      <c r="F8">
        <f t="shared" si="2"/>
        <v>0.31428571428571361</v>
      </c>
      <c r="G8">
        <f t="shared" si="3"/>
        <v>1.2646533654219394</v>
      </c>
      <c r="M8" s="5"/>
    </row>
    <row r="9" spans="1:15" x14ac:dyDescent="0.25">
      <c r="A9">
        <v>8</v>
      </c>
      <c r="B9">
        <v>1</v>
      </c>
      <c r="D9">
        <f t="shared" si="0"/>
        <v>3.1272727272727265</v>
      </c>
      <c r="E9">
        <f t="shared" si="1"/>
        <v>7.5666666666666664</v>
      </c>
      <c r="F9">
        <f t="shared" si="2"/>
        <v>-1.6357142857142859</v>
      </c>
      <c r="G9">
        <f t="shared" si="3"/>
        <v>0.20244293151782139</v>
      </c>
      <c r="M9" s="5"/>
    </row>
    <row r="10" spans="1:15" x14ac:dyDescent="0.25">
      <c r="A10">
        <v>9</v>
      </c>
      <c r="B10">
        <v>9</v>
      </c>
      <c r="D10">
        <f t="shared" si="0"/>
        <v>2.2557425567629643</v>
      </c>
      <c r="E10">
        <f t="shared" si="1"/>
        <v>14.797183507549361</v>
      </c>
      <c r="F10">
        <f t="shared" si="2"/>
        <v>2.7974012775842043</v>
      </c>
      <c r="G10">
        <f t="shared" si="3"/>
        <v>0.4942789035129051</v>
      </c>
    </row>
    <row r="11" spans="1:15" x14ac:dyDescent="0.25">
      <c r="A11">
        <v>10</v>
      </c>
      <c r="B11">
        <v>25</v>
      </c>
      <c r="D11">
        <f t="shared" si="0"/>
        <v>35.676999803289867</v>
      </c>
      <c r="E11">
        <f t="shared" si="1"/>
        <v>14.961832881587641</v>
      </c>
      <c r="F11">
        <f t="shared" si="2"/>
        <v>1.4810253258112422</v>
      </c>
      <c r="G11">
        <f t="shared" si="3"/>
        <v>1.8493222167233836</v>
      </c>
    </row>
    <row r="12" spans="1:15" x14ac:dyDescent="0.25">
      <c r="A12">
        <v>11</v>
      </c>
      <c r="B12">
        <v>18</v>
      </c>
      <c r="D12">
        <f t="shared" si="0"/>
        <v>20.794515969142758</v>
      </c>
      <c r="E12">
        <f t="shared" si="1"/>
        <v>15.338003689334801</v>
      </c>
      <c r="F12">
        <f t="shared" si="2"/>
        <v>0.92859806677920109</v>
      </c>
      <c r="G12">
        <f t="shared" si="3"/>
        <v>1.2191044787195926</v>
      </c>
    </row>
    <row r="13" spans="1:15" x14ac:dyDescent="0.25">
      <c r="A13">
        <v>12</v>
      </c>
      <c r="B13">
        <v>5</v>
      </c>
      <c r="D13">
        <f t="shared" si="0"/>
        <v>3.2930585453406604</v>
      </c>
      <c r="E13">
        <f t="shared" si="1"/>
        <v>20.482460126326043</v>
      </c>
      <c r="F13">
        <f t="shared" si="2"/>
        <v>3.0365272518852211</v>
      </c>
      <c r="G13">
        <f t="shared" si="3"/>
        <v>0.22327711652455079</v>
      </c>
    </row>
    <row r="14" spans="1:15" x14ac:dyDescent="0.25">
      <c r="C14">
        <v>1</v>
      </c>
      <c r="D14">
        <f>(($F$13*C14)+$E$13)*G14</f>
        <v>11.624939293036118</v>
      </c>
      <c r="G14">
        <f>INDEX($G$10:$G$13,MOD(C14-1,4) + 1)</f>
        <v>0.4942789035129051</v>
      </c>
    </row>
    <row r="15" spans="1:15" x14ac:dyDescent="0.25">
      <c r="C15">
        <v>2</v>
      </c>
      <c r="D15">
        <f t="shared" ref="D15:D21" si="4">(($F$13*C15)+$E$13)*G15</f>
        <v>49.109703181960278</v>
      </c>
      <c r="G15">
        <f t="shared" ref="G15:G21" si="5">INDEX($G$10:$G$13,MOD(C15-1,4) + 1)</f>
        <v>1.8493222167233836</v>
      </c>
    </row>
    <row r="16" spans="1:15" x14ac:dyDescent="0.25">
      <c r="C16">
        <v>3</v>
      </c>
      <c r="D16">
        <f t="shared" si="4"/>
        <v>36.07579079278166</v>
      </c>
      <c r="G16">
        <f t="shared" si="5"/>
        <v>1.2191044787195926</v>
      </c>
    </row>
    <row r="17" spans="3:7" x14ac:dyDescent="0.25">
      <c r="C17">
        <v>4</v>
      </c>
      <c r="D17">
        <f t="shared" si="4"/>
        <v>7.2852128325317667</v>
      </c>
      <c r="G17">
        <f t="shared" si="5"/>
        <v>0.22327711652455079</v>
      </c>
    </row>
    <row r="18" spans="3:7" x14ac:dyDescent="0.25">
      <c r="C18">
        <v>5</v>
      </c>
      <c r="D18">
        <f t="shared" si="4"/>
        <v>17.628504735231648</v>
      </c>
      <c r="G18">
        <f t="shared" si="5"/>
        <v>0.4942789035129051</v>
      </c>
    </row>
    <row r="19" spans="3:7" x14ac:dyDescent="0.25">
      <c r="C19">
        <v>6</v>
      </c>
      <c r="D19">
        <f t="shared" si="4"/>
        <v>71.571772416349646</v>
      </c>
      <c r="G19">
        <f t="shared" si="5"/>
        <v>1.8493222167233836</v>
      </c>
    </row>
    <row r="20" spans="3:7" x14ac:dyDescent="0.25">
      <c r="C20">
        <v>7</v>
      </c>
      <c r="D20">
        <f t="shared" si="4"/>
        <v>50.88316668289113</v>
      </c>
      <c r="G20">
        <f t="shared" si="5"/>
        <v>1.2191044787195926</v>
      </c>
    </row>
    <row r="21" spans="3:7" x14ac:dyDescent="0.25">
      <c r="C21">
        <v>8</v>
      </c>
      <c r="D21">
        <f t="shared" si="4"/>
        <v>9.9971610287283692</v>
      </c>
      <c r="G21">
        <f t="shared" si="5"/>
        <v>0.22327711652455079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Lane Missel</dc:creator>
  <cp:lastModifiedBy>Lane Missel</cp:lastModifiedBy>
  <dcterms:created xsi:type="dcterms:W3CDTF">2023-03-26T06:45:42Z</dcterms:created>
  <dcterms:modified xsi:type="dcterms:W3CDTF">2023-03-27T07:41:10Z</dcterms:modified>
</cp:coreProperties>
</file>